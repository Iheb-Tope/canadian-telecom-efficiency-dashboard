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7ba3bce427cc6ed/Desktop/telecom-ops-kpi-capacity-analysis/data/"/>
    </mc:Choice>
  </mc:AlternateContent>
  <xr:revisionPtr revIDLastSave="244" documentId="11_F25DC773A252ABDACC104840B91B75EA5ADE58F2" xr6:coauthVersionLast="47" xr6:coauthVersionMax="47" xr10:uidLastSave="{880527B9-0323-4ED5-8B49-73E39AB42084}"/>
  <bookViews>
    <workbookView xWindow="-110" yWindow="-110" windowWidth="19420" windowHeight="10300" firstSheet="1" activeTab="3" xr2:uid="{00000000-000D-0000-FFFF-FFFF00000000}"/>
  </bookViews>
  <sheets>
    <sheet name="Employment_Clean" sheetId="2" r:id="rId1"/>
    <sheet name="Revenue_Clean" sheetId="3" r:id="rId2"/>
    <sheet name="Telecom_Fact" sheetId="1" r:id="rId3"/>
    <sheet name="Pivot_Summary" sheetId="4" r:id="rId4"/>
    <sheet name="KPI_Checks" sheetId="5" r:id="rId5"/>
  </sheets>
  <definedNames>
    <definedName name="ExternalData_1" localSheetId="0" hidden="1">Employment_Clean!$A$1:$B$6</definedName>
    <definedName name="ExternalData_1" localSheetId="1" hidden="1">Revenue_Clean!$A$1:$B$6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 s="1"/>
  <c r="F2" i="1"/>
  <c r="F3" i="1"/>
  <c r="F4" i="1"/>
  <c r="F5" i="1"/>
  <c r="F6" i="1"/>
  <c r="E3" i="1"/>
  <c r="G3" i="1" s="1"/>
  <c r="E4" i="1"/>
  <c r="E5" i="1"/>
  <c r="E6" i="1"/>
  <c r="D3" i="1"/>
  <c r="D4" i="1"/>
  <c r="G4" i="1" s="1"/>
  <c r="D5" i="1"/>
  <c r="D6" i="1"/>
  <c r="G6" i="1" s="1"/>
  <c r="G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24897-F7F8-414A-82D0-D8B24083CB46}" keepAlive="1" name="Query - 2210000301-noSymbol" description="Connection to the '2210000301-noSymbol' query in the workbook." type="5" refreshedVersion="8" background="1" saveData="1">
    <dbPr connection="Provider=Microsoft.Mashup.OleDb.1;Data Source=$Workbook$;Location=2210000301-noSymbol;Extended Properties=&quot;&quot;" command="SELECT * FROM [2210000301-noSymbol]"/>
  </connection>
  <connection id="2" xr16:uid="{32F8E9B7-BCB6-4025-AD0E-E5AE4D67427B}" keepAlive="1" name="Query - statcan_telecom_employment_naics5173" description="Connection to the 'statcan_telecom_employment_naics5173' query in the workbook." type="5" refreshedVersion="8" background="1" saveData="1">
    <dbPr connection="Provider=Microsoft.Mashup.OleDb.1;Data Source=$Workbook$;Location=statcan_telecom_employment_naics5173;Extended Properties=&quot;&quot;" command="SELECT * FROM [statcan_telecom_employment_naics5173]"/>
  </connection>
  <connection id="3" xr16:uid="{A5B147B6-6ED9-4198-BED7-DBED1793B2BC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<sst xmlns="http://schemas.openxmlformats.org/spreadsheetml/2006/main" count="19" uniqueCount="15">
  <si>
    <t>Year</t>
  </si>
  <si>
    <t>Employees</t>
  </si>
  <si>
    <t>Revenue_Million_CAD</t>
  </si>
  <si>
    <t>Employees_Count</t>
  </si>
  <si>
    <t>Revenue_YoY_Pct</t>
  </si>
  <si>
    <t>Employment_YoY_Pct</t>
  </si>
  <si>
    <t>Revenue_Per_Employee_CAD</t>
  </si>
  <si>
    <t>Growth_Gap_Pct</t>
  </si>
  <si>
    <t>Grand Total</t>
  </si>
  <si>
    <t>Target productivity</t>
  </si>
  <si>
    <t>Total Revenue (M CAD)</t>
  </si>
  <si>
    <t>Revenue Above Productivity Target (M CAD)</t>
  </si>
  <si>
    <t>% of Total Revenue Above Target</t>
  </si>
  <si>
    <t>$700,000.00</t>
  </si>
  <si>
    <t>Employees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</si>
</sst>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0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4" fontId="0" fillId="0" borderId="0" xfId="0" applyNumberFormat="1"/>
    <xf numFmtId="0" fontId="0" fillId="0" borderId="0" xfId="0" applyFont="1" applyBorder="1"/>
    <xf numFmtId="164" fontId="0" fillId="0" borderId="0" xfId="0" applyNumberFormat="1" applyBorder="1"/>
    <xf numFmtId="0" fontId="0" fillId="0" borderId="0" xfId="0" applyBorder="1"/>
    <xf numFmtId="9" fontId="0" fillId="0" borderId="0" xfId="0" applyNumberFormat="1" applyBorder="1"/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0" xfId="1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3" fontId="0" fillId="0" borderId="5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[telecom_ops_kpi_model.xlsx]Pivot_Summary!PivotTable1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Revenue vs Workforce Trend (2020–2024)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179311616148316"/>
          <c:y val="0.19576429452342553"/>
          <c:w val="0.61380507202485979"/>
          <c:h val="0.48170005599808008"/>
        </c:manualLayout>
      </c:layout>
      <c:lineChart>
        <c:grouping val="standard"/>
        <c:varyColors val="0"/>
        <c:ser>
          <c:idx val="1"/>
          <c:order val="1"/>
          <c:tx>
            <c:strRef>
              <c:f>Pivot_Summary!$C$1</c:f>
              <c:strCache>
                <c:ptCount val="1"/>
                <c:pt idx="0">
                  <c:v>Employees 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Pivot_Summary!$A$2:$A$7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Pivot_Summary!$C$2:$C$7</c:f>
              <c:numCache>
                <c:formatCode>#,##0</c:formatCode>
                <c:ptCount val="5"/>
                <c:pt idx="0">
                  <c:v>101842</c:v>
                </c:pt>
                <c:pt idx="1">
                  <c:v>101546</c:v>
                </c:pt>
                <c:pt idx="2">
                  <c:v>102309</c:v>
                </c:pt>
                <c:pt idx="3">
                  <c:v>100640</c:v>
                </c:pt>
                <c:pt idx="4">
                  <c:v>95904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F8-40FB-AB3C-25247591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408607"/>
        <c:axId val="1866412447"/>
      </c:lineChart>
      <c:lineChart>
        <c:grouping val="standard"/>
        <c:varyColors val="0"/>
        <c:ser>
          <c:idx val="0"/>
          <c:order val="0"/>
          <c:tx>
            <c:strRef>
              <c:f>Pivot_Summary!$B$1</c:f>
              <c:strCache>
                <c:ptCount val="1"/>
                <c:pt idx="0">
                  <c:v>Total Revenue (M CAD)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Pivot_Summary!$A$2:$A$7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Pivot_Summary!$B$2:$B$7</c:f>
              <c:numCache>
                <c:formatCode>#,##0.00</c:formatCode>
                <c:ptCount val="5"/>
                <c:pt idx="0">
                  <c:v>63879.3</c:v>
                </c:pt>
                <c:pt idx="1">
                  <c:v>65672.899999999994</c:v>
                </c:pt>
                <c:pt idx="2">
                  <c:v>66766.600000000006</c:v>
                </c:pt>
                <c:pt idx="3">
                  <c:v>69208.100000000006</c:v>
                </c:pt>
                <c:pt idx="4">
                  <c:v>69365.2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8-40FB-AB3C-25247591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695760"/>
        <c:axId val="1046693840"/>
      </c:lineChart>
      <c:catAx>
        <c:axId val="1866408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1"/>
                  <a:t>Year</a:t>
                </a:r>
                <a:endParaRPr lang="en-CA" sz="100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12447"/>
        <c:crosses val="autoZero"/>
        <c:auto val="1"/>
        <c:lblAlgn val="ctr"/>
        <c:lblOffset val="100"/>
        <c:noMultiLvlLbl val="0"/>
      </c:catAx>
      <c:valAx>
        <c:axId val="186641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Revenue (M CAD)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89410748894393299"/>
              <c:y val="0.31379917137802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408607"/>
        <c:crosses val="autoZero"/>
        <c:crossBetween val="between"/>
      </c:valAx>
      <c:valAx>
        <c:axId val="10466938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Employees Count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4.2639093436281562E-2"/>
              <c:y val="0.33158409889516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695760"/>
        <c:crosses val="max"/>
        <c:crossBetween val="between"/>
      </c:valAx>
      <c:catAx>
        <c:axId val="1046695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6693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882943143812721"/>
          <c:y val="0.74452693050523977"/>
          <c:w val="0.3511705685618729"/>
          <c:h val="0.25331291498577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172357</xdr:rowOff>
    </xdr:from>
    <xdr:to>
      <xdr:col>10</xdr:col>
      <xdr:colOff>508000</xdr:colOff>
      <xdr:row>32</xdr:row>
      <xdr:rowOff>77106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27058-EAAB-FA9D-B047-7A93D639E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eb Ben hammouda" refreshedDate="46082.789524884261" createdVersion="8" refreshedVersion="8" minRefreshableVersion="3" recordCount="5" xr:uid="{10D7E059-085F-4A86-B65A-8AFCDAFED44A}">
  <cacheSource type="worksheet">
    <worksheetSource name="Table3"/>
  </cacheSource>
  <cacheFields count="7"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Revenue_Million_CAD" numFmtId="4">
      <sharedItems containsSemiMixedTypes="0" containsString="0" containsNumber="1" minValue="63879.3" maxValue="69365.2"/>
    </cacheField>
    <cacheField name="Employees_Count" numFmtId="3">
      <sharedItems containsSemiMixedTypes="0" containsString="0" containsNumber="1" containsInteger="1" minValue="95904" maxValue="102309"/>
    </cacheField>
    <cacheField name="Revenue_YoY_Pct" numFmtId="10">
      <sharedItems containsString="0" containsBlank="1" containsNumber="1" minValue="2.2699655098173659E-3" maxValue="3.656768504012485E-2"/>
    </cacheField>
    <cacheField name="Employment_YoY_Pct" numFmtId="10">
      <sharedItems containsString="0" containsBlank="1" containsNumber="1" minValue="-4.7058823529411764E-2" maxValue="7.5138360939869617E-3"/>
    </cacheField>
    <cacheField name="Revenue_Per_Employee_CAD" numFmtId="164">
      <sharedItems containsSemiMixedTypes="0" containsString="0" containsNumber="1" minValue="627239.25296046818" maxValue="723277.44411077746"/>
    </cacheField>
    <cacheField name="Growth_Gap_Pct" numFmtId="10">
      <sharedItems containsString="0" containsBlank="1" containsNumber="1" minValue="9.1399130171382018E-3" maxValue="5.288101035852303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3879.3"/>
    <n v="101842"/>
    <m/>
    <m/>
    <n v="627239.25296046818"/>
    <m/>
  </r>
  <r>
    <x v="1"/>
    <n v="65672.899999999994"/>
    <n v="101546"/>
    <n v="2.8077953264985547E-2"/>
    <n v="-2.9064629524164884E-3"/>
    <n v="646730.54576251155"/>
    <n v="3.0984416217402035E-2"/>
  </r>
  <r>
    <x v="2"/>
    <n v="66766.600000000006"/>
    <n v="102309"/>
    <n v="1.6653749111125164E-2"/>
    <n v="7.5138360939869617E-3"/>
    <n v="652597.52318955329"/>
    <n v="9.1399130171382018E-3"/>
  </r>
  <r>
    <x v="3"/>
    <n v="69208.100000000006"/>
    <n v="100640"/>
    <n v="3.656768504012485E-2"/>
    <n v="-1.6313325318398186E-2"/>
    <n v="687679.84896661364"/>
    <n v="5.2881010358523037E-2"/>
  </r>
  <r>
    <x v="4"/>
    <n v="69365.2"/>
    <n v="95904"/>
    <n v="2.2699655098173659E-3"/>
    <n v="-4.7058823529411764E-2"/>
    <n v="723277.44411077746"/>
    <n v="4.932878903922913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B6F908-89AF-4CAF-A391-26873CFCB1D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Year">
  <location ref="A1:C7" firstHeaderRow="0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4" showAll="0"/>
    <pivotField dataField="1" numFmtId="3" showAll="0"/>
    <pivotField showAll="0"/>
    <pivotField showAll="0"/>
    <pivotField numFmtId="164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 (M CAD)" fld="1" baseField="0" baseItem="0" numFmtId="4"/>
    <dataField name="Employees Count" fld="2" baseField="0" baseItem="0" numFmtId="3"/>
  </dataFields>
  <formats count="18"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0" type="button" dataOnly="0" labelOnly="1" outline="0" axis="axisRow" fieldPosition="0"/>
    </format>
    <format dxfId="75">
      <pivotArea dataOnly="0" labelOnly="1" fieldPosition="0">
        <references count="1">
          <reference field="0" count="0"/>
        </references>
      </pivotArea>
    </format>
    <format dxfId="76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0" type="button" dataOnly="0" labelOnly="1" outline="0" axis="axisRow" fieldPosition="0"/>
    </format>
    <format dxfId="81">
      <pivotArea dataOnly="0" labelOnly="1" fieldPosition="0">
        <references count="1">
          <reference field="0" count="0"/>
        </references>
      </pivotArea>
    </format>
    <format dxfId="82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type="all" dataOnly="0" outline="0" fieldPosition="0"/>
    </format>
    <format dxfId="85">
      <pivotArea outline="0" collapsedLevelsAreSubtotals="1" fieldPosition="0"/>
    </format>
    <format dxfId="86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172535A-CD8A-4D34-B23B-A493F83DAAFB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Employe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A10965-2261-45DB-9853-1FD5607496EC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Revenue_Million_CA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6E9C4-7920-4510-A34D-EE67FED8A502}" name="statcan_telecom_employment_naics5173" displayName="statcan_telecom_employment_naics5173" ref="A1:B6" tableType="queryTable" totalsRowShown="0" headerRowDxfId="128" dataDxfId="127" tableBorderDxfId="110">
  <autoFilter ref="A1:B6" xr:uid="{BB86E9C4-7920-4510-A34D-EE67FED8A502}"/>
  <tableColumns count="2">
    <tableColumn id="1" xr3:uid="{B701BC4E-D31F-4530-B103-51B88492D307}" uniqueName="1" name="Year" queryTableFieldId="1" dataDxfId="109"/>
    <tableColumn id="2" xr3:uid="{7900A229-8A17-4B45-BC23-D11228A11429}" uniqueName="2" name="Employees" queryTableFieldId="2" dataDxfId="10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BB9F43-EBDA-46D3-B26A-8762DCDE830C}" name="_2210000301_noSymbol" displayName="_2210000301_noSymbol" ref="A1:B6" tableType="queryTable" totalsRowShown="0" headerRowDxfId="126" dataDxfId="125" tableBorderDxfId="113">
  <autoFilter ref="A1:B6" xr:uid="{87BB9F43-EBDA-46D3-B26A-8762DCDE830C}"/>
  <tableColumns count="2">
    <tableColumn id="1" xr3:uid="{327940F1-7630-4465-8B1F-52BAE0021DC5}" uniqueName="1" name="Year" queryTableFieldId="1" dataDxfId="112"/>
    <tableColumn id="2" xr3:uid="{8E95CA4F-9077-429B-BD24-ECD0C1930945}" uniqueName="2" name="Revenue_Million_CAD" queryTableFieldId="2" dataDxfId="1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BD6878-A6EA-475F-9218-B12F7799EC65}" name="Table3" displayName="Table3" ref="A1:G6" totalsRowShown="0" headerRowDxfId="124" dataDxfId="123" tableBorderDxfId="121">
  <autoFilter ref="A1:G6" xr:uid="{B6BD6878-A6EA-475F-9218-B12F7799EC65}"/>
  <tableColumns count="7">
    <tableColumn id="1" xr3:uid="{B4ECFC31-5A6E-4C93-B17B-40AF1C58F2CE}" name="Year" dataDxfId="120"/>
    <tableColumn id="2" xr3:uid="{E6C83366-CC0B-437E-9110-67852DD33E8E}" name="Revenue_Million_CAD" dataDxfId="119"/>
    <tableColumn id="3" xr3:uid="{1584A5B5-769F-4053-9626-1AF75CC082A1}" name="Employees_Count" dataDxfId="118"/>
    <tableColumn id="4" xr3:uid="{F77414FC-CD14-49D6-A5C3-8C6A7D8FBA48}" name="Revenue_YoY_Pct" dataDxfId="117">
      <calculatedColumnFormula>(B2-B1)/B1</calculatedColumnFormula>
    </tableColumn>
    <tableColumn id="5" xr3:uid="{A0121837-65D3-459F-96F1-F8F109B9AA9B}" name="Employment_YoY_Pct" dataDxfId="116" dataCellStyle="Percent">
      <calculatedColumnFormula>(C2-C1)/C1</calculatedColumnFormula>
    </tableColumn>
    <tableColumn id="6" xr3:uid="{18968952-2CDC-40DE-89ED-CC5E76CFEA2A}" name="Revenue_Per_Employee_CAD" dataDxfId="115">
      <calculatedColumnFormula>B2*1000000/C2</calculatedColumnFormula>
    </tableColumn>
    <tableColumn id="7" xr3:uid="{91F805FE-1F95-4F7F-B2E9-4DCBAF75CA90}" name="Growth_Gap_Pct" dataDxfId="114">
      <calculatedColumnFormula>D2-E2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859C8F-6886-4D0B-BFED-626928DAEBDE}" name="Table4" displayName="Table4" ref="A1:B3" totalsRowShown="0" tableBorderDxfId="122">
  <autoFilter ref="A1:B3" xr:uid="{68859C8F-6886-4D0B-BFED-626928DAEBDE}">
    <filterColumn colId="0" hiddenButton="1"/>
    <filterColumn colId="1" hiddenButton="1"/>
  </autoFilter>
  <tableColumns count="2">
    <tableColumn id="1" xr3:uid="{C9EAACE7-6D0A-4123-862A-62265FDE7F52}" name="Target productivity"/>
    <tableColumn id="2" xr3:uid="{E3B6756F-186F-4025-8B86-A5800352C340}" name="$700,000.00">
      <calculatedColumnFormula xml:space="preserve"> B1 / SUM(Table3[Revenue_Million_CAD])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13DC-CD78-47C1-AF5A-A29225105C0E}">
  <dimension ref="A1:B6"/>
  <sheetViews>
    <sheetView workbookViewId="0">
      <selection activeCell="E10" sqref="E10"/>
    </sheetView>
  </sheetViews>
  <sheetFormatPr defaultRowHeight="14.5" x14ac:dyDescent="0.35"/>
  <cols>
    <col min="1" max="1" width="9.08984375" bestFit="1" customWidth="1"/>
    <col min="2" max="2" width="14.36328125" bestFit="1" customWidth="1"/>
  </cols>
  <sheetData>
    <row r="1" spans="1:2" x14ac:dyDescent="0.35">
      <c r="A1" s="10" t="s">
        <v>0</v>
      </c>
      <c r="B1" s="10" t="s">
        <v>1</v>
      </c>
    </row>
    <row r="2" spans="1:2" x14ac:dyDescent="0.35">
      <c r="A2" s="10">
        <v>2020</v>
      </c>
      <c r="B2" s="10">
        <v>101842</v>
      </c>
    </row>
    <row r="3" spans="1:2" x14ac:dyDescent="0.35">
      <c r="A3" s="10">
        <v>2021</v>
      </c>
      <c r="B3" s="10">
        <v>101546</v>
      </c>
    </row>
    <row r="4" spans="1:2" x14ac:dyDescent="0.35">
      <c r="A4" s="10">
        <v>2022</v>
      </c>
      <c r="B4" s="10">
        <v>102309</v>
      </c>
    </row>
    <row r="5" spans="1:2" x14ac:dyDescent="0.35">
      <c r="A5" s="10">
        <v>2023</v>
      </c>
      <c r="B5" s="10">
        <v>100640</v>
      </c>
    </row>
    <row r="6" spans="1:2" x14ac:dyDescent="0.35">
      <c r="A6" s="10">
        <v>2024</v>
      </c>
      <c r="B6" s="10">
        <v>95904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718B-73CB-40EE-954A-20ACEB6740CE}">
  <dimension ref="A1:B6"/>
  <sheetViews>
    <sheetView workbookViewId="0">
      <selection activeCell="B6" sqref="A1:B6"/>
    </sheetView>
  </sheetViews>
  <sheetFormatPr defaultRowHeight="14.5" x14ac:dyDescent="0.35"/>
  <cols>
    <col min="1" max="1" width="9.08984375" bestFit="1" customWidth="1"/>
    <col min="2" max="2" width="24" style="4" bestFit="1" customWidth="1"/>
  </cols>
  <sheetData>
    <row r="1" spans="1:2" x14ac:dyDescent="0.35">
      <c r="A1" s="10" t="s">
        <v>0</v>
      </c>
      <c r="B1" s="16" t="s">
        <v>2</v>
      </c>
    </row>
    <row r="2" spans="1:2" x14ac:dyDescent="0.35">
      <c r="A2" s="10">
        <v>2020</v>
      </c>
      <c r="B2" s="16">
        <v>63879.3</v>
      </c>
    </row>
    <row r="3" spans="1:2" x14ac:dyDescent="0.35">
      <c r="A3" s="10">
        <v>2021</v>
      </c>
      <c r="B3" s="16">
        <v>65672.899999999994</v>
      </c>
    </row>
    <row r="4" spans="1:2" x14ac:dyDescent="0.35">
      <c r="A4" s="10">
        <v>2022</v>
      </c>
      <c r="B4" s="16">
        <v>66766.600000000006</v>
      </c>
    </row>
    <row r="5" spans="1:2" x14ac:dyDescent="0.35">
      <c r="A5" s="10">
        <v>2023</v>
      </c>
      <c r="B5" s="16">
        <v>69208.100000000006</v>
      </c>
    </row>
    <row r="6" spans="1:2" x14ac:dyDescent="0.35">
      <c r="A6" s="10">
        <v>2024</v>
      </c>
      <c r="B6" s="16">
        <v>69365.2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C13" sqref="C13"/>
    </sheetView>
  </sheetViews>
  <sheetFormatPr defaultRowHeight="14.5" x14ac:dyDescent="0.35"/>
  <cols>
    <col min="1" max="1" width="9.08984375" bestFit="1" customWidth="1"/>
    <col min="2" max="2" width="24" style="5" bestFit="1" customWidth="1"/>
    <col min="3" max="3" width="20.54296875" bestFit="1" customWidth="1"/>
    <col min="4" max="4" width="20.36328125" style="1" bestFit="1" customWidth="1"/>
    <col min="5" max="5" width="23.90625" style="3" bestFit="1" customWidth="1"/>
    <col min="6" max="6" width="30.453125" style="2" bestFit="1" customWidth="1"/>
    <col min="7" max="7" width="19.81640625" bestFit="1" customWidth="1"/>
  </cols>
  <sheetData>
    <row r="1" spans="1:7" x14ac:dyDescent="0.35">
      <c r="A1" s="10" t="s">
        <v>0</v>
      </c>
      <c r="B1" s="11" t="s">
        <v>2</v>
      </c>
      <c r="C1" s="10" t="s">
        <v>3</v>
      </c>
      <c r="D1" s="12" t="s">
        <v>4</v>
      </c>
      <c r="E1" s="13" t="s">
        <v>5</v>
      </c>
      <c r="F1" s="14" t="s">
        <v>6</v>
      </c>
      <c r="G1" s="10" t="s">
        <v>7</v>
      </c>
    </row>
    <row r="2" spans="1:7" x14ac:dyDescent="0.35">
      <c r="A2" s="10">
        <v>2020</v>
      </c>
      <c r="B2" s="11">
        <v>63879.3</v>
      </c>
      <c r="C2" s="15">
        <v>101842</v>
      </c>
      <c r="D2" s="12"/>
      <c r="E2" s="13"/>
      <c r="F2" s="14">
        <f t="shared" ref="F2:F6" si="0">B2*1000000/C2</f>
        <v>627239.25296046818</v>
      </c>
      <c r="G2" s="12"/>
    </row>
    <row r="3" spans="1:7" x14ac:dyDescent="0.35">
      <c r="A3" s="10">
        <v>2021</v>
      </c>
      <c r="B3" s="11">
        <v>65672.899999999994</v>
      </c>
      <c r="C3" s="15">
        <v>101546</v>
      </c>
      <c r="D3" s="12">
        <f t="shared" ref="D3:D6" si="1">(B3-B2)/B2</f>
        <v>2.8077953264985547E-2</v>
      </c>
      <c r="E3" s="13">
        <f t="shared" ref="E3:E6" si="2">(C3-C2)/C2</f>
        <v>-2.9064629524164884E-3</v>
      </c>
      <c r="F3" s="14">
        <f t="shared" si="0"/>
        <v>646730.54576251155</v>
      </c>
      <c r="G3" s="12">
        <f t="shared" ref="G3:G6" si="3">D3-E3</f>
        <v>3.0984416217402035E-2</v>
      </c>
    </row>
    <row r="4" spans="1:7" x14ac:dyDescent="0.35">
      <c r="A4" s="10">
        <v>2022</v>
      </c>
      <c r="B4" s="11">
        <v>66766.600000000006</v>
      </c>
      <c r="C4" s="15">
        <v>102309</v>
      </c>
      <c r="D4" s="12">
        <f t="shared" si="1"/>
        <v>1.6653749111125164E-2</v>
      </c>
      <c r="E4" s="13">
        <f t="shared" si="2"/>
        <v>7.5138360939869617E-3</v>
      </c>
      <c r="F4" s="14">
        <f t="shared" si="0"/>
        <v>652597.52318955329</v>
      </c>
      <c r="G4" s="12">
        <f t="shared" si="3"/>
        <v>9.1399130171382018E-3</v>
      </c>
    </row>
    <row r="5" spans="1:7" x14ac:dyDescent="0.35">
      <c r="A5" s="10">
        <v>2023</v>
      </c>
      <c r="B5" s="11">
        <v>69208.100000000006</v>
      </c>
      <c r="C5" s="15">
        <v>100640</v>
      </c>
      <c r="D5" s="12">
        <f t="shared" si="1"/>
        <v>3.656768504012485E-2</v>
      </c>
      <c r="E5" s="13">
        <f t="shared" si="2"/>
        <v>-1.6313325318398186E-2</v>
      </c>
      <c r="F5" s="14">
        <f t="shared" si="0"/>
        <v>687679.84896661364</v>
      </c>
      <c r="G5" s="12">
        <f t="shared" si="3"/>
        <v>5.2881010358523037E-2</v>
      </c>
    </row>
    <row r="6" spans="1:7" x14ac:dyDescent="0.35">
      <c r="A6" s="10">
        <v>2024</v>
      </c>
      <c r="B6" s="11">
        <v>69365.2</v>
      </c>
      <c r="C6" s="15">
        <v>95904</v>
      </c>
      <c r="D6" s="12">
        <f t="shared" si="1"/>
        <v>2.2699655098173659E-3</v>
      </c>
      <c r="E6" s="13">
        <f t="shared" si="2"/>
        <v>-4.7058823529411764E-2</v>
      </c>
      <c r="F6" s="14">
        <f t="shared" si="0"/>
        <v>723277.44411077746</v>
      </c>
      <c r="G6" s="12">
        <f t="shared" si="3"/>
        <v>4.9328789039229132E-2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132D-6A7C-4B6A-8718-931C019AEAEA}">
  <dimension ref="A1:C7"/>
  <sheetViews>
    <sheetView tabSelected="1" zoomScale="55" zoomScaleNormal="55" workbookViewId="0">
      <selection activeCell="Q19" sqref="Q19"/>
    </sheetView>
  </sheetViews>
  <sheetFormatPr defaultRowHeight="14.5" x14ac:dyDescent="0.35"/>
  <cols>
    <col min="1" max="1" width="11" bestFit="1" customWidth="1"/>
    <col min="2" max="2" width="20.36328125" bestFit="1" customWidth="1"/>
    <col min="3" max="3" width="22.453125" bestFit="1" customWidth="1"/>
    <col min="4" max="4" width="35.453125" bestFit="1" customWidth="1"/>
  </cols>
  <sheetData>
    <row r="1" spans="1:3" ht="22.5" customHeight="1" x14ac:dyDescent="0.35">
      <c r="A1" s="23" t="s">
        <v>0</v>
      </c>
      <c r="B1" s="28" t="s">
        <v>10</v>
      </c>
      <c r="C1" s="29" t="s">
        <v>14</v>
      </c>
    </row>
    <row r="2" spans="1:3" x14ac:dyDescent="0.35">
      <c r="A2" s="24">
        <v>2020</v>
      </c>
      <c r="B2" s="19">
        <v>63879.3</v>
      </c>
      <c r="C2" s="20">
        <v>101842</v>
      </c>
    </row>
    <row r="3" spans="1:3" x14ac:dyDescent="0.35">
      <c r="A3" s="25">
        <v>2021</v>
      </c>
      <c r="B3" s="21">
        <v>65672.899999999994</v>
      </c>
      <c r="C3" s="17">
        <v>101546</v>
      </c>
    </row>
    <row r="4" spans="1:3" x14ac:dyDescent="0.35">
      <c r="A4" s="25">
        <v>2022</v>
      </c>
      <c r="B4" s="21">
        <v>66766.600000000006</v>
      </c>
      <c r="C4" s="17">
        <v>102309</v>
      </c>
    </row>
    <row r="5" spans="1:3" x14ac:dyDescent="0.35">
      <c r="A5" s="25">
        <v>2023</v>
      </c>
      <c r="B5" s="21">
        <v>69208.100000000006</v>
      </c>
      <c r="C5" s="17">
        <v>100640</v>
      </c>
    </row>
    <row r="6" spans="1:3" x14ac:dyDescent="0.35">
      <c r="A6" s="26">
        <v>2024</v>
      </c>
      <c r="B6" s="21">
        <v>69365.2</v>
      </c>
      <c r="C6" s="17">
        <v>95904</v>
      </c>
    </row>
    <row r="7" spans="1:3" x14ac:dyDescent="0.35">
      <c r="A7" s="27" t="s">
        <v>8</v>
      </c>
      <c r="B7" s="22">
        <v>334892.10000000003</v>
      </c>
      <c r="C7" s="18">
        <v>502241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57DA-7A72-40A3-8B33-17A8E48996A3}">
  <dimension ref="A1:B3"/>
  <sheetViews>
    <sheetView workbookViewId="0">
      <selection activeCell="C16" sqref="C16"/>
    </sheetView>
  </sheetViews>
  <sheetFormatPr defaultRowHeight="14.5" x14ac:dyDescent="0.35"/>
  <cols>
    <col min="1" max="1" width="37.81640625" bestFit="1" customWidth="1"/>
    <col min="2" max="2" width="12.90625" customWidth="1"/>
  </cols>
  <sheetData>
    <row r="1" spans="1:2" x14ac:dyDescent="0.35">
      <c r="A1" s="6" t="s">
        <v>9</v>
      </c>
      <c r="B1" s="7" t="s">
        <v>13</v>
      </c>
    </row>
    <row r="2" spans="1:2" x14ac:dyDescent="0.35">
      <c r="A2" s="8" t="s">
        <v>11</v>
      </c>
      <c r="B2" s="7">
        <f>SUMIFS(Table3[Revenue_Million_CAD],Table3[Revenue_Per_Employee_CAD], "&gt;" &amp; KPI_Checks!B1)</f>
        <v>69365.2</v>
      </c>
    </row>
    <row r="3" spans="1:2" x14ac:dyDescent="0.35">
      <c r="A3" s="8" t="s">
        <v>12</v>
      </c>
      <c r="B3" s="9">
        <f xml:space="preserve"> B2 / SUM(Table3[Revenue_Million_CAD])</f>
        <v>0.20712701195399949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37E3A0-A5B6-4748-A107-4395A2BBF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Employment_Clean</vt:lpstr>
      <vt:lpstr>Revenue_Clean</vt:lpstr>
      <vt:lpstr>Telecom_Fact</vt:lpstr>
      <vt:lpstr>Pivot_Summary</vt:lpstr>
      <vt:lpstr>KPI_Checks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Iheb Ben hammouda</dc:creator>
  <cp:lastModifiedBy>Iheb Ben hammouda</cp:lastModifiedBy>
  <dcterms:created xsi:type="dcterms:W3CDTF">2015-06-05T18:17:20Z</dcterms:created>
  <dcterms:modified xsi:type="dcterms:W3CDTF">2026-03-02T00:55:10Z</dcterms:modified>
</cp:coreProperties>
</file>